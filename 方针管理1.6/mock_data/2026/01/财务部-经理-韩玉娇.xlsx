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510" yWindow="585" windowWidth="27735" windowHeight="13275" activeTab="30"/>
  </bookViews>
  <sheets>
    <sheet name="01" sheetId="17" r:id="rId1"/>
    <sheet name="02" sheetId="16" r:id="rId2"/>
    <sheet name="03" sheetId="15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8" r:id="rId12"/>
    <sheet name="13" sheetId="19" r:id="rId13"/>
    <sheet name="14" sheetId="20" r:id="rId14"/>
    <sheet name="15" sheetId="21" r:id="rId15"/>
    <sheet name="16" sheetId="22" r:id="rId16"/>
    <sheet name="17" sheetId="14" r:id="rId17"/>
    <sheet name="18" sheetId="13" r:id="rId18"/>
    <sheet name="19" sheetId="12" r:id="rId19"/>
    <sheet name="20" sheetId="1" r:id="rId20"/>
    <sheet name="21" sheetId="2" r:id="rId21"/>
    <sheet name="22" sheetId="3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45621"/>
</workbook>
</file>

<file path=xl/calcChain.xml><?xml version="1.0" encoding="utf-8"?>
<calcChain xmlns="http://schemas.openxmlformats.org/spreadsheetml/2006/main">
  <c r="E9" i="31" l="1"/>
  <c r="E8" i="31"/>
  <c r="E9" i="30" l="1"/>
  <c r="E8" i="30"/>
  <c r="E9" i="29" l="1"/>
  <c r="E8" i="29"/>
  <c r="E9" i="28" l="1"/>
  <c r="E8" i="28"/>
  <c r="E9" i="27" l="1"/>
  <c r="E8" i="27"/>
  <c r="E9" i="26" l="1"/>
  <c r="E8" i="26"/>
  <c r="E9" i="25" l="1"/>
  <c r="E8" i="25"/>
  <c r="E9" i="24"/>
  <c r="E8" i="24"/>
  <c r="E9" i="23"/>
  <c r="E8" i="23"/>
  <c r="E9" i="17" l="1"/>
  <c r="E9" i="16"/>
  <c r="E9" i="15"/>
  <c r="E9" i="4"/>
  <c r="E9" i="5"/>
  <c r="E9" i="6"/>
  <c r="E9" i="7"/>
  <c r="E9" i="8"/>
  <c r="E9" i="9"/>
  <c r="E9" i="10"/>
  <c r="E9" i="11"/>
  <c r="E9" i="18"/>
  <c r="E9" i="19"/>
  <c r="E9" i="20"/>
  <c r="E9" i="21"/>
  <c r="E9" i="22"/>
  <c r="E9" i="14"/>
  <c r="E9" i="13"/>
  <c r="E9" i="12"/>
  <c r="E9" i="1"/>
  <c r="E9" i="2"/>
  <c r="E9" i="3"/>
  <c r="E8" i="3" l="1"/>
  <c r="E8" i="14" l="1"/>
  <c r="E8" i="22"/>
  <c r="E8" i="21"/>
  <c r="E8" i="20"/>
  <c r="E8" i="19"/>
  <c r="E8" i="18"/>
  <c r="E8" i="11"/>
  <c r="E8" i="10"/>
  <c r="E8" i="9"/>
  <c r="E8" i="8"/>
  <c r="E8" i="7"/>
  <c r="E8" i="6"/>
  <c r="E8" i="5"/>
  <c r="E8" i="4"/>
  <c r="E8" i="15"/>
  <c r="E8" i="16"/>
  <c r="E8" i="17"/>
  <c r="E8" i="2" l="1"/>
  <c r="E8" i="1"/>
  <c r="E8" i="12"/>
  <c r="E8" i="13"/>
</calcChain>
</file>

<file path=xl/sharedStrings.xml><?xml version="1.0" encoding="utf-8"?>
<sst xmlns="http://schemas.openxmlformats.org/spreadsheetml/2006/main" count="1240" uniqueCount="21">
  <si>
    <t>日经营看板</t>
  </si>
  <si>
    <t/>
  </si>
  <si>
    <t>日期</t>
  </si>
  <si>
    <t>部门</t>
  </si>
  <si>
    <t>岗位</t>
  </si>
  <si>
    <t>姓名</t>
  </si>
  <si>
    <t>KPI名称</t>
  </si>
  <si>
    <t>KPI类型</t>
  </si>
  <si>
    <t>目标值</t>
  </si>
  <si>
    <t>实际值</t>
  </si>
  <si>
    <t>完成率</t>
  </si>
  <si>
    <t>单位</t>
  </si>
  <si>
    <t>备注</t>
  </si>
  <si>
    <t>元/吨</t>
    <phoneticPr fontId="1" type="noConversion"/>
  </si>
  <si>
    <t>吨</t>
    <phoneticPr fontId="1" type="noConversion"/>
  </si>
  <si>
    <t>韩玉娇</t>
    <phoneticPr fontId="1" type="noConversion"/>
  </si>
  <si>
    <t>财务经理</t>
    <phoneticPr fontId="1" type="noConversion"/>
  </si>
  <si>
    <t>成本</t>
    <phoneticPr fontId="1" type="noConversion"/>
  </si>
  <si>
    <t>产量</t>
    <phoneticPr fontId="1" type="noConversion"/>
  </si>
  <si>
    <t>生产成本</t>
    <phoneticPr fontId="1" type="noConversion"/>
  </si>
  <si>
    <t>财务部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</si>
</sst>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* #,##0.00_);_(* \(#,##0.00\);_(* &quot;-&quot;??_);_(@_)"/>
    <numFmt numFmtId="177" formatCode="0.00_);[Red]\(0.00\)"/>
    <numFmt numFmtId="178" formatCode="0.00_ "/>
  </numFmts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 applyFont="0" applyFill="0" applyBorder="0" applyAlignment="0" applyProtection="0">
      <alignment vertical="center"/>
    </xf>
  </cellStyleXfs>
  <cellXfs count="5">
    <xf numFmtId="0" fontId="0" fillId="0" borderId="0" xfId="0" applyNumberFormat="1"/>
    <xf numFmtId="177" fontId="0" fillId="0" borderId="0" xfId="0" applyNumberFormat="1"/>
    <xf numFmtId="14" fontId="0" fillId="0" borderId="0" xfId="0" applyNumberFormat="1"/>
    <xf numFmtId="10" fontId="0" fillId="0" borderId="0" xfId="0" applyNumberFormat="1"/>
    <xf numFmtId="178" fontId="0" fillId="0" borderId="0" xfId="0" applyNumberFormat="1"/>
  </cellXfs>
  <cellStyles count="2">
    <cellStyle name="常规" xfId="0" builtinId="0"/>
    <cellStyle name="千位分隔 2 2 13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H17" sqref="H17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46023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603.91858999999999</v>
      </c>
      <c r="E8" s="3">
        <f>D8/C8</f>
        <v>1.29906856619154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1693.7515986405203</v>
      </c>
      <c r="E9" s="3">
        <f>C9/D9</f>
        <v>1.0957884847116415</v>
      </c>
      <c r="F9" t="s">
        <v>13</v>
      </c>
      <c r="G9" t="s">
        <v>1</v>
      </c>
    </row>
    <row r="12" spans="1:7" ht="12.75" customHeight="1" x14ac:dyDescent="0.15"/>
    <row r="13" spans="1:7" ht="13.5" customHeight="1" x14ac:dyDescent="0.1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46024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453.72122100000001</v>
      </c>
      <c r="E8" s="3">
        <f>D8/C8</f>
        <v>0.97598415709499009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1877.1744541010212</v>
      </c>
      <c r="E9" s="3">
        <f>C9/D9</f>
        <v>0.98871657543467451</v>
      </c>
      <c r="F9" t="s">
        <v>13</v>
      </c>
      <c r="G9" t="s">
        <v>1</v>
      </c>
    </row>
    <row r="12" spans="1:7" ht="12.75" customHeight="1" x14ac:dyDescent="0.15"/>
    <row r="13" spans="1:7" ht="13.5" customHeight="1" x14ac:dyDescent="0.15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46025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441.04000000000008</v>
      </c>
      <c r="E8" s="3">
        <f>D8/C8</f>
        <v>0.94870601753311967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1916.5787731187281</v>
      </c>
      <c r="E9" s="3">
        <f>C9/D9</f>
        <v>0.96838884150432003</v>
      </c>
      <c r="F9" t="s">
        <v>13</v>
      </c>
      <c r="G9" t="s">
        <v>1</v>
      </c>
    </row>
    <row r="12" spans="1:7" ht="12.75" customHeight="1" x14ac:dyDescent="0.15"/>
    <row r="13" spans="1:7" ht="13.5" customHeight="1" x14ac:dyDescent="0.15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46026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440.97159799999997</v>
      </c>
      <c r="E8" s="3">
        <f>D8/C8</f>
        <v>0.94855888033692115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1932.3557742522205</v>
      </c>
      <c r="E9" s="3">
        <f>C9/D9</f>
        <v>0.96048228927742108</v>
      </c>
      <c r="F9" t="s">
        <v>13</v>
      </c>
      <c r="G9" t="s">
        <v>1</v>
      </c>
    </row>
    <row r="12" spans="1:7" ht="12.75" customHeight="1" x14ac:dyDescent="0.15"/>
    <row r="13" spans="1:7" ht="13.5" customHeight="1" x14ac:dyDescent="0.15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46027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438.06885499999999</v>
      </c>
      <c r="E8" s="3">
        <f>D8/C8</f>
        <v>0.94231488942577446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1939.6551755748633</v>
      </c>
      <c r="E9" s="3">
        <f>C9/D9</f>
        <v>0.95686775728172824</v>
      </c>
      <c r="F9" t="s">
        <v>13</v>
      </c>
      <c r="G9" t="s">
        <v>1</v>
      </c>
    </row>
    <row r="12" spans="1:7" ht="12.75" customHeight="1" x14ac:dyDescent="0.15"/>
    <row r="13" spans="1:7" ht="13.5" customHeight="1" x14ac:dyDescent="0.15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46028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438.46963499999993</v>
      </c>
      <c r="E8" s="3">
        <f>D8/C8</f>
        <v>0.94317699353811546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1938.6420586373952</v>
      </c>
      <c r="E9" s="3">
        <f>C9/D9</f>
        <v>0.95736780778228348</v>
      </c>
      <c r="F9" t="s">
        <v>13</v>
      </c>
      <c r="G9" t="s">
        <v>1</v>
      </c>
    </row>
    <row r="12" spans="1:7" ht="12.75" customHeight="1" x14ac:dyDescent="0.15"/>
    <row r="13" spans="1:7" ht="13.5" customHeight="1" x14ac:dyDescent="0.15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46029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448.35086399999994</v>
      </c>
      <c r="E8" s="3">
        <f>D8/C8</f>
        <v>0.96443216634086071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1918.5477453486969</v>
      </c>
      <c r="E9" s="3">
        <f>C9/D9</f>
        <v>0.96739500085513297</v>
      </c>
      <c r="F9" t="s">
        <v>13</v>
      </c>
      <c r="G9" t="s">
        <v>1</v>
      </c>
    </row>
    <row r="12" spans="1:7" ht="12.75" customHeight="1" x14ac:dyDescent="0.15"/>
    <row r="13" spans="1:7" ht="13.5" customHeight="1" x14ac:dyDescent="0.15"/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46030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451.91861599999999</v>
      </c>
      <c r="E8" s="3">
        <f>D8/C8</f>
        <v>0.97210663530391594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1895.4700479297437</v>
      </c>
      <c r="E9" s="3">
        <f>C9/D9</f>
        <v>0.97917321340917818</v>
      </c>
      <c r="F9" t="s">
        <v>13</v>
      </c>
      <c r="G9" t="s">
        <v>1</v>
      </c>
    </row>
    <row r="12" spans="1:7" ht="12.75" customHeight="1" x14ac:dyDescent="0.15"/>
    <row r="13" spans="1:7" ht="13.5" customHeight="1" x14ac:dyDescent="0.15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46031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464.83204899999998</v>
      </c>
      <c r="E8" s="3">
        <f>D8/C8</f>
        <v>0.99988427813474934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1848.5207094880893</v>
      </c>
      <c r="E9" s="3">
        <f>C9/D9</f>
        <v>1.0040425775192945</v>
      </c>
      <c r="F9" t="s">
        <v>13</v>
      </c>
      <c r="G9" t="s">
        <v>1</v>
      </c>
    </row>
    <row r="12" spans="1:7" ht="12.75" customHeight="1" x14ac:dyDescent="0.15"/>
    <row r="13" spans="1:7" ht="13.5" customHeight="1" x14ac:dyDescent="0.15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46032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442.46170199999995</v>
      </c>
      <c r="E8" s="3">
        <f>D8/C8</f>
        <v>0.95176419194482553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1920.0407844943829</v>
      </c>
      <c r="E9" s="3">
        <f>C9/D9</f>
        <v>0.96664274672736561</v>
      </c>
      <c r="F9" t="s">
        <v>13</v>
      </c>
      <c r="G9" t="s">
        <v>1</v>
      </c>
    </row>
    <row r="12" spans="1:7" ht="12.75" customHeight="1" x14ac:dyDescent="0.15"/>
    <row r="13" spans="1:7" ht="13.5" customHeight="1" x14ac:dyDescent="0.15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46033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457.90892999999994</v>
      </c>
      <c r="E8" s="3">
        <f>D8/C8</f>
        <v>0.98499219429791385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1876.9903137209139</v>
      </c>
      <c r="E9" s="3">
        <f>C9/D9</f>
        <v>0.98881357255005009</v>
      </c>
      <c r="F9" t="s">
        <v>13</v>
      </c>
      <c r="G9" t="s">
        <v>1</v>
      </c>
    </row>
    <row r="12" spans="1:7" ht="12.75" customHeight="1" x14ac:dyDescent="0.15"/>
    <row r="13" spans="1:7" ht="13.5" customHeight="1" x14ac:dyDescent="0.15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46034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446.51895500000001</v>
      </c>
      <c r="E8" s="3">
        <f>D8/C8</f>
        <v>0.96049160972043401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1899.0954160934368</v>
      </c>
      <c r="E9" s="3">
        <f>C9/D9</f>
        <v>0.97730397431536953</v>
      </c>
      <c r="F9" t="s">
        <v>13</v>
      </c>
      <c r="G9" t="s">
        <v>1</v>
      </c>
    </row>
    <row r="12" spans="1:7" ht="12.75" customHeight="1" x14ac:dyDescent="0.15"/>
    <row r="13" spans="1:7" ht="13.5" customHeight="1" x14ac:dyDescent="0.15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46035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442.05471600000004</v>
      </c>
      <c r="E8" s="3">
        <f>D8/C8</f>
        <v>0.95088873831873344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1947.115336123449</v>
      </c>
      <c r="E9" s="3">
        <f>C9/D9</f>
        <v>0.95320162258459273</v>
      </c>
      <c r="F9" t="s">
        <v>13</v>
      </c>
      <c r="G9" t="s">
        <v>1</v>
      </c>
    </row>
    <row r="12" spans="1:7" ht="12.75" customHeight="1" x14ac:dyDescent="0.15"/>
    <row r="13" spans="1:7" ht="13.5" customHeight="1" x14ac:dyDescent="0.15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46036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452.65950500000002</v>
      </c>
      <c r="E8" s="3">
        <f>D8/C8</f>
        <v>0.97370033622134777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1874.0082276560211</v>
      </c>
      <c r="E9" s="3">
        <f>C9/D9</f>
        <v>0.990387059331998</v>
      </c>
      <c r="F9" t="s">
        <v>13</v>
      </c>
      <c r="G9" t="s">
        <v>1</v>
      </c>
    </row>
    <row r="12" spans="1:7" ht="12.75" customHeight="1" x14ac:dyDescent="0.15"/>
    <row r="13" spans="1:7" ht="13.5" customHeight="1" x14ac:dyDescent="0.15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46037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436.75146699999999</v>
      </c>
      <c r="E8" s="3">
        <f>D8/C8</f>
        <v>0.93948110128178319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1939.3054623405569</v>
      </c>
      <c r="E9" s="3">
        <f>C9/D9</f>
        <v>0.95704030839587739</v>
      </c>
      <c r="F9" t="s">
        <v>13</v>
      </c>
      <c r="G9" t="s">
        <v>1</v>
      </c>
    </row>
    <row r="12" spans="1:7" ht="12.75" customHeight="1" x14ac:dyDescent="0.15"/>
    <row r="13" spans="1:7" ht="13.5" customHeight="1" x14ac:dyDescent="0.15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46038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455.65680099999997</v>
      </c>
      <c r="E8" s="3">
        <f>D8/C8</f>
        <v>0.98014771684788482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1889.0724582671551</v>
      </c>
      <c r="E9" s="3">
        <f>C9/D9</f>
        <v>0.9824893108942564</v>
      </c>
      <c r="F9" t="s">
        <v>13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46039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437.53528699999998</v>
      </c>
      <c r="E8" s="3">
        <f>D8/C8</f>
        <v>0.94116714960089887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1920.122542936256</v>
      </c>
      <c r="E9" s="3">
        <f>C9/D9</f>
        <v>0.96660158726850132</v>
      </c>
      <c r="F9" t="s">
        <v>13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9.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46040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4">
        <v>433.50019799999995</v>
      </c>
      <c r="E8" s="3">
        <f>D8/C8</f>
        <v>0.93248740804552588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4">
        <v>1950.6685376077983</v>
      </c>
      <c r="E9" s="3">
        <f>C9/D9</f>
        <v>0.9514653371240166</v>
      </c>
      <c r="F9" t="s">
        <v>13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  <col min="4" max="4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46041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1">
        <v>435.43690300000003</v>
      </c>
      <c r="E8" s="3">
        <f>D8/C8</f>
        <v>0.93665338774733653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1">
        <v>1940.2631138958734</v>
      </c>
      <c r="E9" s="3">
        <f>C9/D9</f>
        <v>0.95656794403803747</v>
      </c>
      <c r="F9" t="s">
        <v>13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E9" sqref="E9"/>
    </sheetView>
  </sheetViews>
  <sheetFormatPr defaultRowHeight="14.25" x14ac:dyDescent="0.15"/>
  <cols>
    <col min="1" max="1" width="22.75" bestFit="1" customWidth="1"/>
    <col min="2" max="2" width="13.875" bestFit="1" customWidth="1"/>
    <col min="3" max="3" width="10.5" bestFit="1" customWidth="1"/>
    <col min="4" max="4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46042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1">
        <v>440.07286199999999</v>
      </c>
      <c r="E8" s="3">
        <f>D8/C8</f>
        <v>0.94662564015151018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1">
        <v>1937.0139930861233</v>
      </c>
      <c r="E9" s="3">
        <f>C9/D9</f>
        <v>0.95817247803934436</v>
      </c>
      <c r="F9" t="s">
        <v>13</v>
      </c>
      <c r="G9" t="s">
        <v>1</v>
      </c>
    </row>
    <row r="10" spans="1:7" x14ac:dyDescent="0.15">
      <c r="C10" s="1"/>
    </row>
  </sheetData>
  <phoneticPr fontId="1" type="noConversion"/>
  <pageMargins left="0.7" right="0.7" top="0.75" bottom="0.75" header="0.3" footer="0.3"/>
  <ignoredErrors>
    <ignoredError sqref="A1:G1 G8 A4 A3 C3:G3 A6:G7 A5 C5:G5 C4:G4 A2 C2:G2 G9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9" sqref="E9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46043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1">
        <v>445.74102099999993</v>
      </c>
      <c r="E8" s="3">
        <f>D8/C8</f>
        <v>0.95881822257404437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1">
        <v>1849.3730761245968</v>
      </c>
      <c r="E9" s="3">
        <f>C9/D9</f>
        <v>1.0035798194064189</v>
      </c>
      <c r="F9" t="s">
        <v>13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8" sqref="E8:E9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46044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1">
        <v>435.36512099999999</v>
      </c>
      <c r="E8" s="3">
        <f>D8/C8</f>
        <v>0.93649897994906284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1">
        <v>1905.51656796558</v>
      </c>
      <c r="E9" s="3">
        <f>C9/D9</f>
        <v>0.97401068505731392</v>
      </c>
      <c r="F9" t="s">
        <v>13</v>
      </c>
      <c r="G9" t="s">
        <v>1</v>
      </c>
    </row>
  </sheetData>
  <phoneticPr fontId="1" type="noConversion"/>
  <pageMargins left="0.7" right="0.7" top="0.75" bottom="0.75" header="0.3" footer="0.3"/>
  <pageSetup paperSize="136" orientation="portrait" horizontalDpi="180" verticalDpi="18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8" sqref="E8:E9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46045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1">
        <v>449.25415899999996</v>
      </c>
      <c r="E8" s="3">
        <f>D8/C8</f>
        <v>0.96637521323481046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1">
        <v>2161.8246366953563</v>
      </c>
      <c r="E9" s="3">
        <f>C9/D9</f>
        <v>0.85853101414800936</v>
      </c>
      <c r="F9" t="s">
        <v>13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D8" sqref="D8:D9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46046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1">
        <v>447.84179900000004</v>
      </c>
      <c r="E8" s="3">
        <f>D8/C8</f>
        <v>0.96333713407889943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1">
        <v>1802.8176533425333</v>
      </c>
      <c r="E9" s="3">
        <f>C9/D9</f>
        <v>1.0294959638935706</v>
      </c>
      <c r="F9" t="s">
        <v>13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8" sqref="E8:E9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46047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1">
        <v>471.16995100000003</v>
      </c>
      <c r="E8" s="3">
        <f>D8/C8</f>
        <v>1.0135175217542289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1">
        <v>1720.3676058270551</v>
      </c>
      <c r="E9" s="3">
        <f>C9/D9</f>
        <v>1.0788354137021545</v>
      </c>
      <c r="F9" t="s">
        <v>13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8" sqref="E8:E9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46048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1">
        <v>451.44144399999999</v>
      </c>
      <c r="E8" s="3">
        <f>D8/C8</f>
        <v>0.97108020698041175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1">
        <v>1867.7650362956865</v>
      </c>
      <c r="E9" s="3">
        <f>C9/D9</f>
        <v>0.99369752709001524</v>
      </c>
      <c r="F9" t="s">
        <v>13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8" sqref="E8:E9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46049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1">
        <v>443.73132299999997</v>
      </c>
      <c r="E8" s="3">
        <f>D8/C8</f>
        <v>0.95449523013339443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1">
        <v>1985.6889694278909</v>
      </c>
      <c r="E9" s="3">
        <f>C9/D9</f>
        <v>0.93468490097266232</v>
      </c>
      <c r="F9" t="s">
        <v>13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8" sqref="E8:E9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46050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1">
        <v>452.06446999999991</v>
      </c>
      <c r="E8" s="3">
        <f>D8/C8</f>
        <v>0.97242037684092208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1">
        <v>1747.2326888970897</v>
      </c>
      <c r="E9" s="3">
        <f>C9/D9</f>
        <v>1.0622474668349868</v>
      </c>
      <c r="F9" t="s">
        <v>13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8" sqref="E8:E9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46051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1">
        <v>440.35463400000003</v>
      </c>
      <c r="E8" s="3">
        <f>D8/C8</f>
        <v>0.9472317502367007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1">
        <v>1833.6202430551143</v>
      </c>
      <c r="E9" s="3">
        <f>C9/D9</f>
        <v>1.012201683953829</v>
      </c>
      <c r="F9" t="s">
        <v>13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8" sqref="E8:E9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46052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1">
        <v>462.91049999999996</v>
      </c>
      <c r="E8" s="3">
        <f>D8/C8</f>
        <v>0.99575089998472943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1">
        <v>1747.041812557319</v>
      </c>
      <c r="E9" s="3">
        <f>C9/D9</f>
        <v>1.0623635246802787</v>
      </c>
      <c r="F9" t="s">
        <v>13</v>
      </c>
      <c r="G9" t="s">
        <v>1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H15" sqref="H15"/>
    </sheetView>
  </sheetViews>
  <sheetFormatPr defaultRowHeight="14.25" x14ac:dyDescent="0.15"/>
  <cols>
    <col min="1" max="1" width="18.375" customWidth="1"/>
    <col min="2" max="2" width="11.625" bestFit="1" customWidth="1"/>
  </cols>
  <sheetData>
    <row r="1" spans="1:7" x14ac:dyDescent="0.1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7" x14ac:dyDescent="0.15">
      <c r="A2" t="s">
        <v>2</v>
      </c>
      <c r="B2" s="2">
        <v>46053</v>
      </c>
      <c r="C2" t="s">
        <v>1</v>
      </c>
      <c r="D2" t="s">
        <v>1</v>
      </c>
      <c r="E2" t="s">
        <v>1</v>
      </c>
    </row>
    <row r="3" spans="1:7" x14ac:dyDescent="0.15">
      <c r="A3" t="s">
        <v>3</v>
      </c>
      <c r="B3" t="s">
        <v>20</v>
      </c>
      <c r="C3" t="s">
        <v>1</v>
      </c>
      <c r="D3" t="s">
        <v>1</v>
      </c>
      <c r="E3" t="s">
        <v>1</v>
      </c>
    </row>
    <row r="4" spans="1:7" x14ac:dyDescent="0.15">
      <c r="A4" t="s">
        <v>4</v>
      </c>
      <c r="B4" t="s">
        <v>16</v>
      </c>
      <c r="C4" t="s">
        <v>1</v>
      </c>
      <c r="D4" t="s">
        <v>1</v>
      </c>
      <c r="E4" t="s">
        <v>1</v>
      </c>
    </row>
    <row r="5" spans="1:7" x14ac:dyDescent="0.15">
      <c r="A5" t="s">
        <v>5</v>
      </c>
      <c r="B5" t="s">
        <v>15</v>
      </c>
      <c r="C5" t="s">
        <v>1</v>
      </c>
      <c r="D5" t="s">
        <v>1</v>
      </c>
      <c r="E5" t="s">
        <v>1</v>
      </c>
    </row>
    <row r="6" spans="1:7" x14ac:dyDescent="0.15">
      <c r="A6" t="s">
        <v>1</v>
      </c>
    </row>
    <row r="7" spans="1:7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15">
      <c r="A8" t="s">
        <v>18</v>
      </c>
      <c r="B8" t="s">
        <v>17</v>
      </c>
      <c r="C8" s="1">
        <v>464.88584645728065</v>
      </c>
      <c r="D8" s="1">
        <v>286.45522900000003</v>
      </c>
      <c r="E8" s="3">
        <f>D8/C8</f>
        <v>0.61618401847026982</v>
      </c>
      <c r="F8" t="s">
        <v>14</v>
      </c>
      <c r="G8" t="s">
        <v>1</v>
      </c>
    </row>
    <row r="9" spans="1:7" x14ac:dyDescent="0.15">
      <c r="A9" t="s">
        <v>19</v>
      </c>
      <c r="B9" t="s">
        <v>17</v>
      </c>
      <c r="C9" s="1">
        <v>1855.9934977522162</v>
      </c>
      <c r="D9" s="1">
        <v>2477.9868721879047</v>
      </c>
      <c r="E9" s="3">
        <f>C9/D9</f>
        <v>0.74899246585333679</v>
      </c>
      <c r="F9" t="s">
        <v>13</v>
      </c>
      <c r="G9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hbhx104</dc:creator>
  <cp:lastModifiedBy>hbhx096</cp:lastModifiedBy>
  <dcterms:created xsi:type="dcterms:W3CDTF">2026-01-21T08:22:52Z</dcterms:created>
  <dcterms:modified xsi:type="dcterms:W3CDTF">2026-02-01T02:15:40Z</dcterms:modified>
</cp:coreProperties>
</file>